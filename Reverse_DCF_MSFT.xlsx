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n-Financial (FCFF)" sheetId="1" r:id="rId1"/>
    <sheet name="Financials (FCFE &amp; ROE)" sheetId="2" r:id="rId2"/>
    <sheet name="Methodology &amp; Guide" sheetId="3" r:id="rId3"/>
  </sheets>
  <calcPr calcId="124519" fullCalcOnLoad="1"/>
</workbook>
</file>

<file path=xl/sharedStrings.xml><?xml version="1.0" encoding="utf-8"?>
<sst xmlns="http://schemas.openxmlformats.org/spreadsheetml/2006/main" count="96" uniqueCount="78">
  <si>
    <t>REVERSE DCF: MICROSOFT CORPORATION (MSFT) - FCFF METHOD</t>
  </si>
  <si>
    <t>Live yFinance Data • Rating: AAA / AA+ • Trailing FCFF: $16,546M</t>
  </si>
  <si>
    <t>1. MARKET &amp; CAPITAL STRUCTURE</t>
  </si>
  <si>
    <t>Current Share Price ($)</t>
  </si>
  <si>
    <t>Diluted Shares Outstanding (M)</t>
  </si>
  <si>
    <t>Current Market Capitalization ($M)</t>
  </si>
  <si>
    <t>Total Debt ($M)</t>
  </si>
  <si>
    <t>Less: Cash &amp; Liquid Equivalents ($M)</t>
  </si>
  <si>
    <t>Net Debt ($M)</t>
  </si>
  <si>
    <t>Current Market Enterprise Value ($M)</t>
  </si>
  <si>
    <t>2. VALUATION PARAMETERS</t>
  </si>
  <si>
    <t>Discount Rate (Rating-Derived WACC)</t>
  </si>
  <si>
    <t>Terminal Growth Rate (g)</t>
  </si>
  <si>
    <t>Trailing 12-Month FCFF ($M)</t>
  </si>
  <si>
    <t>3. GOAL SEEK VARIABLE (IMPLIED GROWTH)</t>
  </si>
  <si>
    <t>Implied FCFF CAGR (Years 1-10) [CHANGING CELL]</t>
  </si>
  <si>
    <t>4. VALUATION RECONCILIATION</t>
  </si>
  <si>
    <t>PV of 10-Year Discrete Cash Flows ($M)</t>
  </si>
  <si>
    <t>Terminal Value at Year 10 ($M)</t>
  </si>
  <si>
    <t>PV of Terminal Value ($M)</t>
  </si>
  <si>
    <t>Model Enterprise Value ($M)</t>
  </si>
  <si>
    <t>Less: Net Debt ($M)</t>
  </si>
  <si>
    <t>Model Equity Value ($M)</t>
  </si>
  <si>
    <t>Model Share Price ($) [TARGET CELL]</t>
  </si>
  <si>
    <t>Variance vs Market Price ($)</t>
  </si>
  <si>
    <t>Yr 1</t>
  </si>
  <si>
    <t>Yr 2</t>
  </si>
  <si>
    <t>Yr 3</t>
  </si>
  <si>
    <t>Yr 4</t>
  </si>
  <si>
    <t>Yr 5</t>
  </si>
  <si>
    <t>Yr 6</t>
  </si>
  <si>
    <t>Yr 7</t>
  </si>
  <si>
    <t>Yr 8</t>
  </si>
  <si>
    <t>Yr 9</t>
  </si>
  <si>
    <t>Yr 10</t>
  </si>
  <si>
    <t>Year</t>
  </si>
  <si>
    <t>FCFF ($M)</t>
  </si>
  <si>
    <t>Discount Factor</t>
  </si>
  <si>
    <t>PV of FCFF ($M)</t>
  </si>
  <si>
    <t>📌 EXCEL GOAL SEEK INSTRUCTIONS FOR MSFT</t>
  </si>
  <si>
    <t>1. Open Goal Seek: Press Alt + A + W + G (Data tab &gt; What-If Analysis &gt; Goal Seek).
2. Set cell: C29  (Model Share Price)
   To value: 527.33  (Current Market Price)
   By changing cell: C20  (Implied FCFF CAGR %)
3. Click OK to instantly solve the market-implied growth rate!</t>
  </si>
  <si>
    <t>REVERSE DCF: JPMORGAN CHASE &amp; CO. (JPM) - BANK ROE METHOD</t>
  </si>
  <si>
    <t>Damodaran Bank Valuation • Trailing Net Income: $49,500M • Cost of Equity: 10.00%</t>
  </si>
  <si>
    <t>1. BANK / FINANCIAL PROFILE</t>
  </si>
  <si>
    <t>Market Capitalization ($M)</t>
  </si>
  <si>
    <t>Current Book Value of Equity ($M)</t>
  </si>
  <si>
    <t>Current Price-to-Book (P/B)</t>
  </si>
  <si>
    <t>Trailing Net Income ($M)</t>
  </si>
  <si>
    <t>Current ROE (Net Income / Book Value)</t>
  </si>
  <si>
    <t>Cost of Equity (Ke) [NOT WACC]</t>
  </si>
  <si>
    <t>Capital Retention Ratio (b)</t>
  </si>
  <si>
    <t>Base Year FCFE ($M) [Net Income*(1-b)]</t>
  </si>
  <si>
    <t>3. GOAL SEEK VARIABLE</t>
  </si>
  <si>
    <t>Implied Sustainable ROE (%) [VARIABLE A]</t>
  </si>
  <si>
    <t>Implied FCFE CAGR (%) [VARIABLE B]</t>
  </si>
  <si>
    <t>4. EXCESS RETURN VALUATION</t>
  </si>
  <si>
    <t>Starting Book Value ($M)</t>
  </si>
  <si>
    <t>PV of 10-Year Excess Returns ($M)</t>
  </si>
  <si>
    <t>Terminal Excess Return ($M)</t>
  </si>
  <si>
    <t>PV of Terminal Excess Return ($M)</t>
  </si>
  <si>
    <t>Book Value ($M)</t>
  </si>
  <si>
    <t>Net Income ($M)</t>
  </si>
  <si>
    <t>Equity Cost ($M)</t>
  </si>
  <si>
    <t>PV Excess Return ($M)</t>
  </si>
  <si>
    <t>📌 BANK GOAL SEEK INSTRUCTIONS FOR JPM</t>
  </si>
  <si>
    <t>1. Open Goal Seek: Alt + A + W + G
2. Set cell: C30  (Model Share Price)
   To value: 195.0  (Target Bank Share Price)
   By changing cell: C21  (Implied Sustainable ROE %)
3. Click OK to solve the sustainable Return on Equity priced in by the market!</t>
  </si>
  <si>
    <t>REVERSE DCF METHODOLOGY &amp; INSTITUTIONAL GUIDE</t>
  </si>
  <si>
    <t>Theoretical Foundation, Mathematical Formulations, and Practical Application</t>
  </si>
  <si>
    <t>Core Philosophy</t>
  </si>
  <si>
    <t>Standard DCF models are prone to forecasting bias. Reverse DCF turns valuation on its head: rather than asking 'What is this company worth?', we ask 'What performance must this company achieve to justify its current price?'</t>
  </si>
  <si>
    <t>Live yFinance Integration</t>
  </si>
  <si>
    <t>Market price, diluted shares, total debt, and cash are extracted in real time from yFinance. FCFF uses the trailing 12-month amount.</t>
  </si>
  <si>
    <t>Rating-Derived WACC</t>
  </si>
  <si>
    <t>Cost of debt is derived from synthetic credit ratings and default spreads based on leverage/interest coverage, combined with the 10-year Treasury yield and equity risk premium.</t>
  </si>
  <si>
    <t>Financials (FCFE &amp; Excess Return)</t>
  </si>
  <si>
    <t>Financial firms cannot use FCFF because debt cannot be segregated from operating assets. We discount Free Cash Flow to Equity (or Excess Returns over Book Value) at the Cost of Equity (Ke). Goal Seek reveals what ROE is priced in.</t>
  </si>
  <si>
    <t>Excel Goal Seek Shortcuts</t>
  </si>
  <si>
    <t>Windows: Alt + A + W + G. Excel uses the Newton-Raphson method with 100 maximum iterations to converge on the implied rate.</t>
  </si>
</sst>
</file>

<file path=xl/styles.xml><?xml version="1.0" encoding="utf-8"?>
<styleSheet xmlns="http://schemas.openxmlformats.org/spreadsheetml/2006/main">
  <numFmts count="4">
    <numFmt numFmtId="164" formatCode="$#,##0.00"/>
    <numFmt numFmtId="165" formatCode="#,##0"/>
    <numFmt numFmtId="166" formatCode="0.0000"/>
    <numFmt numFmtId="167" formatCode="0.00%"/>
  </numFmts>
  <fonts count="12">
    <font>
      <sz val="11"/>
      <color theme="1"/>
      <name val="Calibri"/>
      <family val="2"/>
      <scheme val="minor"/>
    </font>
    <font>
      <b/>
      <sz val="14"/>
      <color rgb="FFFFFFFF"/>
      <name val="Calibri"/>
      <family val="2"/>
      <scheme val="minor"/>
    </font>
    <font>
      <b/>
      <sz val="11"/>
      <color rgb="FF0F172A"/>
      <name val="Calibri"/>
      <family val="2"/>
      <scheme val="minor"/>
    </font>
    <font>
      <b/>
      <sz val="11"/>
      <color rgb="FF1E3A8A"/>
      <name val="Calibri"/>
      <family val="2"/>
      <scheme val="minor"/>
    </font>
    <font>
      <b/>
      <sz val="10"/>
      <color rgb="FFFFFFFF"/>
      <name val="Calibri"/>
      <family val="2"/>
      <scheme val="minor"/>
    </font>
    <font>
      <b/>
      <sz val="10"/>
      <color theme="1"/>
      <name val="Calibri"/>
      <family val="2"/>
      <scheme val="minor"/>
    </font>
    <font>
      <sz val="10"/>
      <color rgb="FF002060"/>
      <name val="Calibri"/>
      <family val="2"/>
      <scheme val="minor"/>
    </font>
    <font>
      <sz val="10"/>
      <color rgb="FF000000"/>
      <name val="Calibri"/>
      <family val="2"/>
      <scheme val="minor"/>
    </font>
    <font>
      <sz val="10"/>
      <color theme="1"/>
      <name val="Calibri"/>
      <family val="2"/>
      <scheme val="minor"/>
    </font>
    <font>
      <b/>
      <sz val="10"/>
      <color rgb="FF92400E"/>
      <name val="Calibri"/>
      <family val="2"/>
      <scheme val="minor"/>
    </font>
    <font>
      <sz val="9"/>
      <color rgb="FF78350F"/>
      <name val="Calibri"/>
      <family val="2"/>
      <scheme val="minor"/>
    </font>
    <font>
      <b/>
      <sz val="11"/>
      <color rgb="FF7C2D12"/>
      <name val="Calibri"/>
      <family val="2"/>
      <scheme val="minor"/>
    </font>
  </fonts>
  <fills count="11">
    <fill>
      <patternFill patternType="none"/>
    </fill>
    <fill>
      <patternFill patternType="gray125"/>
    </fill>
    <fill>
      <patternFill patternType="solid">
        <fgColor rgb="FF1E293B"/>
        <bgColor indexed="64"/>
      </patternFill>
    </fill>
    <fill>
      <patternFill patternType="solid">
        <fgColor rgb="FFE2E8F0"/>
        <bgColor indexed="64"/>
      </patternFill>
    </fill>
    <fill>
      <patternFill patternType="solid">
        <fgColor rgb="FFDBEAFE"/>
        <bgColor indexed="64"/>
      </patternFill>
    </fill>
    <fill>
      <patternFill patternType="solid">
        <fgColor rgb="FF334155"/>
        <bgColor indexed="64"/>
      </patternFill>
    </fill>
    <fill>
      <patternFill patternType="solid">
        <fgColor rgb="FFF8FAFC"/>
        <bgColor indexed="64"/>
      </patternFill>
    </fill>
    <fill>
      <patternFill patternType="solid">
        <fgColor rgb="FFFEF3C7"/>
        <bgColor indexed="64"/>
      </patternFill>
    </fill>
    <fill>
      <patternFill patternType="solid">
        <fgColor rgb="FFFFFBEB"/>
        <bgColor indexed="64"/>
      </patternFill>
    </fill>
    <fill>
      <patternFill patternType="solid">
        <fgColor rgb="FFDCFCE7"/>
        <bgColor indexed="64"/>
      </patternFill>
    </fill>
    <fill>
      <patternFill patternType="solid">
        <fgColor rgb="FFF1F5F9"/>
        <bgColor indexed="64"/>
      </patternFill>
    </fill>
  </fills>
  <borders count="10">
    <border>
      <left/>
      <right/>
      <top/>
      <bottom/>
      <diagonal/>
    </border>
    <border>
      <left/>
      <right/>
      <top style="thin">
        <color rgb="FF93C5FD"/>
      </top>
      <bottom style="thin">
        <color rgb="FF93C5FD"/>
      </bottom>
      <diagonal/>
    </border>
    <border>
      <left style="thin">
        <color rgb="FF64748B"/>
      </left>
      <right style="thin">
        <color rgb="FF64748B"/>
      </right>
      <top style="thin">
        <color rgb="FF64748B"/>
      </top>
      <bottom style="thin">
        <color rgb="FF64748B"/>
      </bottom>
      <diagonal/>
    </border>
    <border>
      <left style="thin">
        <color rgb="FFCBD5E1"/>
      </left>
      <right style="thin">
        <color rgb="FFCBD5E1"/>
      </right>
      <top style="thin">
        <color rgb="FFCBD5E1"/>
      </top>
      <bottom style="thin">
        <color rgb="FFCBD5E1"/>
      </bottom>
      <diagonal/>
    </border>
    <border>
      <left style="thin">
        <color rgb="FFE2E8F0"/>
      </left>
      <right style="thin">
        <color rgb="FFE2E8F0"/>
      </right>
      <top style="thin">
        <color rgb="FFE2E8F0"/>
      </top>
      <bottom style="thin">
        <color rgb="FFE2E8F0"/>
      </bottom>
      <diagonal/>
    </border>
    <border>
      <left style="thin">
        <color rgb="FFF59E0B"/>
      </left>
      <right style="thin">
        <color rgb="FFF59E0B"/>
      </right>
      <top style="thin">
        <color rgb="FFF59E0B"/>
      </top>
      <bottom/>
      <diagonal/>
    </border>
    <border>
      <left style="thin">
        <color rgb="FFF59E0B"/>
      </left>
      <right style="thin">
        <color rgb="FFF59E0B"/>
      </right>
      <top/>
      <bottom style="thin">
        <color rgb="FFF59E0B"/>
      </bottom>
      <diagonal/>
    </border>
    <border>
      <left style="medium">
        <color rgb="FFF59E0B"/>
      </left>
      <right style="medium">
        <color rgb="FFF59E0B"/>
      </right>
      <top style="medium">
        <color rgb="FFF59E0B"/>
      </top>
      <bottom style="medium">
        <color rgb="FFF59E0B"/>
      </bottom>
      <diagonal/>
    </border>
    <border>
      <left style="medium">
        <color rgb="FF22C55E"/>
      </left>
      <right style="medium">
        <color rgb="FF22C55E"/>
      </right>
      <top style="medium">
        <color rgb="FF22C55E"/>
      </top>
      <bottom style="medium">
        <color rgb="FF22C55E"/>
      </bottom>
      <diagonal/>
    </border>
    <border>
      <left style="medium">
        <color rgb="FF94A3B8"/>
      </left>
      <right style="medium">
        <color rgb="FF94A3B8"/>
      </right>
      <top style="medium">
        <color rgb="FF94A3B8"/>
      </top>
      <bottom style="medium">
        <color rgb="FF94A3B8"/>
      </bottom>
      <diagonal/>
    </border>
  </borders>
  <cellStyleXfs count="1">
    <xf numFmtId="0" fontId="0" fillId="0" borderId="0"/>
  </cellStyleXfs>
  <cellXfs count="18">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4" borderId="1" xfId="0" applyFont="1" applyFill="1" applyBorder="1"/>
    <xf numFmtId="0" fontId="4" fillId="5" borderId="2" xfId="0" applyFont="1" applyFill="1" applyBorder="1" applyAlignment="1">
      <alignment horizontal="center" vertical="center"/>
    </xf>
    <xf numFmtId="0" fontId="5" fillId="0" borderId="0" xfId="0" applyFont="1" applyAlignment="1">
      <alignment vertical="center"/>
    </xf>
    <xf numFmtId="164" fontId="6" fillId="6" borderId="3" xfId="0" applyNumberFormat="1" applyFont="1" applyFill="1" applyBorder="1" applyAlignment="1">
      <alignment horizontal="right"/>
    </xf>
    <xf numFmtId="165" fontId="7" fillId="0" borderId="4" xfId="0" applyNumberFormat="1" applyFont="1" applyBorder="1" applyAlignment="1">
      <alignment horizontal="right"/>
    </xf>
    <xf numFmtId="165" fontId="6" fillId="6" borderId="3" xfId="0" applyNumberFormat="1" applyFont="1" applyFill="1" applyBorder="1" applyAlignment="1">
      <alignment horizontal="right"/>
    </xf>
    <xf numFmtId="0" fontId="8" fillId="0" borderId="0" xfId="0" applyFont="1" applyAlignment="1">
      <alignment vertical="center"/>
    </xf>
    <xf numFmtId="166" fontId="7" fillId="0" borderId="4" xfId="0" applyNumberFormat="1" applyFont="1" applyBorder="1" applyAlignment="1">
      <alignment horizontal="right"/>
    </xf>
    <xf numFmtId="0" fontId="9" fillId="7" borderId="5" xfId="0" applyFont="1" applyFill="1" applyBorder="1"/>
    <xf numFmtId="0" fontId="10" fillId="8" borderId="6" xfId="0" applyFont="1" applyFill="1" applyBorder="1" applyAlignment="1">
      <alignment vertical="top" wrapText="1"/>
    </xf>
    <xf numFmtId="167" fontId="6" fillId="6" borderId="3" xfId="0" applyNumberFormat="1" applyFont="1" applyFill="1" applyBorder="1" applyAlignment="1">
      <alignment horizontal="right"/>
    </xf>
    <xf numFmtId="167" fontId="11" fillId="7" borderId="7" xfId="0" applyNumberFormat="1" applyFont="1" applyFill="1" applyBorder="1" applyAlignment="1">
      <alignment horizontal="right"/>
    </xf>
    <xf numFmtId="164" fontId="2" fillId="9" borderId="8" xfId="0" applyNumberFormat="1" applyFont="1" applyFill="1" applyBorder="1" applyAlignment="1">
      <alignment horizontal="right"/>
    </xf>
    <xf numFmtId="164" fontId="2" fillId="10" borderId="9" xfId="0" applyNumberFormat="1" applyFont="1" applyFill="1" applyBorder="1" applyAlignment="1">
      <alignment horizontal="right"/>
    </xf>
    <xf numFmtId="0" fontId="8"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2563EB"/>
  </sheetPr>
  <dimension ref="B2:N30"/>
  <sheetViews>
    <sheetView tabSelected="1" workbookViewId="0"/>
  </sheetViews>
  <sheetFormatPr defaultRowHeight="15"/>
  <cols>
    <col min="1" max="1" width="3.7109375" customWidth="1"/>
    <col min="2" max="2" width="38.7109375" customWidth="1"/>
    <col min="3" max="3" width="18.7109375" customWidth="1"/>
    <col min="4" max="4" width="4.7109375" customWidth="1"/>
    <col min="5" max="14" width="13.7109375" customWidth="1"/>
  </cols>
  <sheetData>
    <row r="2" spans="2:14" ht="32" customHeight="1">
      <c r="B2" s="1" t="s">
        <v>0</v>
      </c>
      <c r="C2" s="1"/>
      <c r="D2" s="1"/>
      <c r="E2" s="1"/>
      <c r="F2" s="1"/>
      <c r="G2" s="1"/>
      <c r="H2" s="1"/>
      <c r="I2" s="1"/>
      <c r="J2" s="1"/>
      <c r="K2" s="1"/>
      <c r="L2" s="1"/>
      <c r="M2" s="1"/>
      <c r="N2" s="1"/>
    </row>
    <row r="3" spans="2:14" ht="20" customHeight="1">
      <c r="B3" s="2" t="s">
        <v>1</v>
      </c>
      <c r="C3" s="2"/>
      <c r="D3" s="2"/>
      <c r="E3" s="2"/>
      <c r="F3" s="2"/>
      <c r="G3" s="2"/>
      <c r="H3" s="2"/>
      <c r="I3" s="2"/>
      <c r="J3" s="2"/>
      <c r="K3" s="2"/>
      <c r="L3" s="2"/>
      <c r="M3" s="2"/>
      <c r="N3" s="2"/>
    </row>
    <row r="5" spans="2:14">
      <c r="B5" s="3" t="s">
        <v>2</v>
      </c>
      <c r="C5" s="3"/>
      <c r="E5" s="4" t="s">
        <v>25</v>
      </c>
      <c r="F5" s="4" t="s">
        <v>26</v>
      </c>
      <c r="G5" s="4" t="s">
        <v>27</v>
      </c>
      <c r="H5" s="4" t="s">
        <v>28</v>
      </c>
      <c r="I5" s="4" t="s">
        <v>29</v>
      </c>
      <c r="J5" s="4" t="s">
        <v>30</v>
      </c>
      <c r="K5" s="4" t="s">
        <v>31</v>
      </c>
      <c r="L5" s="4" t="s">
        <v>32</v>
      </c>
      <c r="M5" s="4" t="s">
        <v>33</v>
      </c>
      <c r="N5" s="4" t="s">
        <v>34</v>
      </c>
    </row>
    <row r="6" spans="2:14">
      <c r="B6" s="5" t="s">
        <v>3</v>
      </c>
      <c r="C6" s="6">
        <v>527.33</v>
      </c>
      <c r="D6" s="4" t="s">
        <v>35</v>
      </c>
      <c r="E6" s="7">
        <v>1</v>
      </c>
      <c r="F6" s="7">
        <v>2</v>
      </c>
      <c r="G6" s="7">
        <v>3</v>
      </c>
      <c r="H6" s="7">
        <v>4</v>
      </c>
      <c r="I6" s="7">
        <v>5</v>
      </c>
      <c r="J6" s="7">
        <v>6</v>
      </c>
      <c r="K6" s="7">
        <v>7</v>
      </c>
      <c r="L6" s="7">
        <v>8</v>
      </c>
      <c r="M6" s="7">
        <v>9</v>
      </c>
      <c r="N6" s="7">
        <v>10</v>
      </c>
    </row>
    <row r="7" spans="2:14">
      <c r="B7" s="5" t="s">
        <v>4</v>
      </c>
      <c r="C7" s="8">
        <v>7425.55</v>
      </c>
      <c r="D7" s="4" t="s">
        <v>36</v>
      </c>
      <c r="E7" s="7">
        <f>C17*(1+C20)^1</f>
        <v>0</v>
      </c>
      <c r="F7" s="7">
        <f>C17*(1+C20)^2</f>
        <v>0</v>
      </c>
      <c r="G7" s="7">
        <f>C17*(1+C20)^3</f>
        <v>0</v>
      </c>
      <c r="H7" s="7">
        <f>C17*(1+C20)^4</f>
        <v>0</v>
      </c>
      <c r="I7" s="7">
        <f>C17*(1+C20)^5</f>
        <v>0</v>
      </c>
      <c r="J7" s="7">
        <f>C17*(1+C20)^6</f>
        <v>0</v>
      </c>
      <c r="K7" s="7">
        <f>C17*(1+C20)^7</f>
        <v>0</v>
      </c>
      <c r="L7" s="7">
        <f>C17*(1+C20)^8</f>
        <v>0</v>
      </c>
      <c r="M7" s="7">
        <f>C17*(1+C20)^9</f>
        <v>0</v>
      </c>
      <c r="N7" s="7">
        <f>C17*(1+C20)^10</f>
        <v>0</v>
      </c>
    </row>
    <row r="8" spans="2:14">
      <c r="B8" s="9" t="s">
        <v>5</v>
      </c>
      <c r="C8" s="7">
        <f>C6*C7</f>
        <v>0</v>
      </c>
      <c r="D8" s="4" t="s">
        <v>37</v>
      </c>
      <c r="E8" s="10">
        <f>1/(1+$C$15)^1</f>
        <v>0</v>
      </c>
      <c r="F8" s="10">
        <f>1/(1+$C$15)^2</f>
        <v>0</v>
      </c>
      <c r="G8" s="10">
        <f>1/(1+$C$15)^3</f>
        <v>0</v>
      </c>
      <c r="H8" s="10">
        <f>1/(1+$C$15)^4</f>
        <v>0</v>
      </c>
      <c r="I8" s="10">
        <f>1/(1+$C$15)^5</f>
        <v>0</v>
      </c>
      <c r="J8" s="10">
        <f>1/(1+$C$15)^6</f>
        <v>0</v>
      </c>
      <c r="K8" s="10">
        <f>1/(1+$C$15)^7</f>
        <v>0</v>
      </c>
      <c r="L8" s="10">
        <f>1/(1+$C$15)^8</f>
        <v>0</v>
      </c>
      <c r="M8" s="10">
        <f>1/(1+$C$15)^9</f>
        <v>0</v>
      </c>
      <c r="N8" s="10">
        <f>1/(1+$C$15)^10</f>
        <v>0</v>
      </c>
    </row>
    <row r="9" spans="2:14">
      <c r="B9" s="9" t="s">
        <v>6</v>
      </c>
      <c r="C9" s="8">
        <v>128813</v>
      </c>
      <c r="D9" s="4" t="s">
        <v>38</v>
      </c>
      <c r="E9" s="7">
        <f>E7*E8</f>
        <v>0</v>
      </c>
      <c r="F9" s="7">
        <f>F7*F8</f>
        <v>0</v>
      </c>
      <c r="G9" s="7">
        <f>G7*G8</f>
        <v>0</v>
      </c>
      <c r="H9" s="7">
        <f>H7*H8</f>
        <v>0</v>
      </c>
      <c r="I9" s="7">
        <f>I7*I8</f>
        <v>0</v>
      </c>
      <c r="J9" s="7">
        <f>J7*J8</f>
        <v>0</v>
      </c>
      <c r="K9" s="7">
        <f>K7*K8</f>
        <v>0</v>
      </c>
      <c r="L9" s="7">
        <f>L7*L8</f>
        <v>0</v>
      </c>
      <c r="M9" s="7">
        <f>M7*M8</f>
        <v>0</v>
      </c>
      <c r="N9" s="7">
        <f>N7*N8</f>
        <v>0</v>
      </c>
    </row>
    <row r="10" spans="2:14">
      <c r="B10" s="9" t="s">
        <v>7</v>
      </c>
      <c r="C10" s="8">
        <v>76843</v>
      </c>
    </row>
    <row r="11" spans="2:14">
      <c r="B11" s="5" t="s">
        <v>8</v>
      </c>
      <c r="C11" s="7">
        <f>C9-C10</f>
        <v>0</v>
      </c>
    </row>
    <row r="12" spans="2:14">
      <c r="B12" s="5" t="s">
        <v>9</v>
      </c>
      <c r="C12" s="7">
        <f>C8+C11</f>
        <v>0</v>
      </c>
      <c r="E12" s="11" t="s">
        <v>39</v>
      </c>
      <c r="F12" s="11"/>
      <c r="G12" s="11"/>
      <c r="H12" s="11"/>
      <c r="I12" s="11"/>
      <c r="J12" s="11"/>
      <c r="K12" s="11"/>
      <c r="L12" s="11"/>
      <c r="M12" s="11"/>
      <c r="N12" s="11"/>
    </row>
    <row r="13" spans="2:14">
      <c r="E13" s="12" t="s">
        <v>40</v>
      </c>
      <c r="F13" s="12"/>
      <c r="G13" s="12"/>
      <c r="H13" s="12"/>
      <c r="I13" s="12"/>
      <c r="J13" s="12"/>
      <c r="K13" s="12"/>
      <c r="L13" s="12"/>
      <c r="M13" s="12"/>
      <c r="N13" s="12"/>
    </row>
    <row r="14" spans="2:14">
      <c r="B14" s="3" t="s">
        <v>10</v>
      </c>
      <c r="C14" s="3"/>
      <c r="E14" s="12"/>
      <c r="F14" s="12"/>
      <c r="G14" s="12"/>
      <c r="H14" s="12"/>
      <c r="I14" s="12"/>
      <c r="J14" s="12"/>
      <c r="K14" s="12"/>
      <c r="L14" s="12"/>
      <c r="M14" s="12"/>
      <c r="N14" s="12"/>
    </row>
    <row r="15" spans="2:14">
      <c r="B15" s="5" t="s">
        <v>11</v>
      </c>
      <c r="C15" s="13">
        <v>0.1056</v>
      </c>
      <c r="E15" s="12"/>
      <c r="F15" s="12"/>
      <c r="G15" s="12"/>
      <c r="H15" s="12"/>
      <c r="I15" s="12"/>
      <c r="J15" s="12"/>
      <c r="K15" s="12"/>
      <c r="L15" s="12"/>
      <c r="M15" s="12"/>
      <c r="N15" s="12"/>
    </row>
    <row r="16" spans="2:14">
      <c r="B16" s="5" t="s">
        <v>12</v>
      </c>
      <c r="C16" s="13">
        <v>0.03</v>
      </c>
      <c r="E16" s="12"/>
      <c r="F16" s="12"/>
      <c r="G16" s="12"/>
      <c r="H16" s="12"/>
      <c r="I16" s="12"/>
      <c r="J16" s="12"/>
      <c r="K16" s="12"/>
      <c r="L16" s="12"/>
      <c r="M16" s="12"/>
      <c r="N16" s="12"/>
    </row>
    <row r="17" spans="2:14">
      <c r="B17" s="5" t="s">
        <v>13</v>
      </c>
      <c r="C17" s="8">
        <v>16545.5</v>
      </c>
      <c r="E17" s="12"/>
      <c r="F17" s="12"/>
      <c r="G17" s="12"/>
      <c r="H17" s="12"/>
      <c r="I17" s="12"/>
      <c r="J17" s="12"/>
      <c r="K17" s="12"/>
      <c r="L17" s="12"/>
      <c r="M17" s="12"/>
      <c r="N17" s="12"/>
    </row>
    <row r="18" spans="2:14">
      <c r="E18" s="12"/>
      <c r="F18" s="12"/>
      <c r="G18" s="12"/>
      <c r="H18" s="12"/>
      <c r="I18" s="12"/>
      <c r="J18" s="12"/>
      <c r="K18" s="12"/>
      <c r="L18" s="12"/>
      <c r="M18" s="12"/>
      <c r="N18" s="12"/>
    </row>
    <row r="19" spans="2:14">
      <c r="B19" s="3" t="s">
        <v>14</v>
      </c>
      <c r="C19" s="3"/>
    </row>
    <row r="20" spans="2:14">
      <c r="B20" s="5" t="s">
        <v>15</v>
      </c>
      <c r="C20" s="14">
        <v>0.1</v>
      </c>
    </row>
    <row r="22" spans="2:14">
      <c r="B22" s="3" t="s">
        <v>16</v>
      </c>
      <c r="C22" s="3"/>
    </row>
    <row r="23" spans="2:14">
      <c r="B23" s="9" t="s">
        <v>17</v>
      </c>
      <c r="C23" s="7">
        <f>SUM(E9:N9)</f>
        <v>0</v>
      </c>
    </row>
    <row r="24" spans="2:14">
      <c r="B24" s="9" t="s">
        <v>18</v>
      </c>
      <c r="C24" s="7">
        <f>N7*(1+C16)/(C15-C16)</f>
        <v>0</v>
      </c>
    </row>
    <row r="25" spans="2:14">
      <c r="B25" s="9" t="s">
        <v>19</v>
      </c>
      <c r="C25" s="7">
        <f>C24/(1+C15)^10</f>
        <v>0</v>
      </c>
    </row>
    <row r="26" spans="2:14">
      <c r="B26" s="5" t="s">
        <v>20</v>
      </c>
      <c r="C26" s="7">
        <f>C23+C25</f>
        <v>0</v>
      </c>
    </row>
    <row r="27" spans="2:14">
      <c r="B27" s="9" t="s">
        <v>21</v>
      </c>
      <c r="C27" s="7">
        <f>C11</f>
        <v>0</v>
      </c>
    </row>
    <row r="28" spans="2:14">
      <c r="B28" s="5" t="s">
        <v>22</v>
      </c>
      <c r="C28" s="7">
        <f>C26-C27</f>
        <v>0</v>
      </c>
    </row>
    <row r="29" spans="2:14">
      <c r="B29" s="5" t="s">
        <v>23</v>
      </c>
      <c r="C29" s="15">
        <f>C28/C7</f>
        <v>0</v>
      </c>
    </row>
    <row r="30" spans="2:14">
      <c r="B30" s="5" t="s">
        <v>24</v>
      </c>
      <c r="C30" s="16">
        <f>C29-C6</f>
        <v>0</v>
      </c>
    </row>
  </sheetData>
  <mergeCells count="8">
    <mergeCell ref="B2:N2"/>
    <mergeCell ref="B3:N3"/>
    <mergeCell ref="B5:C5"/>
    <mergeCell ref="B14:C14"/>
    <mergeCell ref="B19:C19"/>
    <mergeCell ref="B22:C22"/>
    <mergeCell ref="E12:N12"/>
    <mergeCell ref="E13:N18"/>
  </mergeCells>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059669"/>
  </sheetPr>
  <dimension ref="B2:N31"/>
  <sheetViews>
    <sheetView workbookViewId="0"/>
  </sheetViews>
  <sheetFormatPr defaultRowHeight="15"/>
  <cols>
    <col min="1" max="1" width="3.7109375" customWidth="1"/>
    <col min="2" max="2" width="38.7109375" customWidth="1"/>
    <col min="3" max="3" width="18.7109375" customWidth="1"/>
    <col min="4" max="4" width="4.7109375" customWidth="1"/>
    <col min="5" max="14" width="13.7109375" customWidth="1"/>
  </cols>
  <sheetData>
    <row r="2" spans="2:14" ht="32" customHeight="1">
      <c r="B2" s="1" t="s">
        <v>41</v>
      </c>
      <c r="C2" s="1"/>
      <c r="D2" s="1"/>
      <c r="E2" s="1"/>
      <c r="F2" s="1"/>
      <c r="G2" s="1"/>
      <c r="H2" s="1"/>
      <c r="I2" s="1"/>
      <c r="J2" s="1"/>
      <c r="K2" s="1"/>
      <c r="L2" s="1"/>
      <c r="M2" s="1"/>
      <c r="N2" s="1"/>
    </row>
    <row r="3" spans="2:14" ht="20" customHeight="1">
      <c r="B3" s="2" t="s">
        <v>42</v>
      </c>
      <c r="C3" s="2"/>
      <c r="D3" s="2"/>
      <c r="E3" s="2"/>
      <c r="F3" s="2"/>
      <c r="G3" s="2"/>
      <c r="H3" s="2"/>
      <c r="I3" s="2"/>
      <c r="J3" s="2"/>
      <c r="K3" s="2"/>
      <c r="L3" s="2"/>
      <c r="M3" s="2"/>
      <c r="N3" s="2"/>
    </row>
    <row r="5" spans="2:14">
      <c r="B5" s="3" t="s">
        <v>43</v>
      </c>
      <c r="C5" s="3"/>
      <c r="E5" s="4" t="s">
        <v>25</v>
      </c>
      <c r="F5" s="4" t="s">
        <v>26</v>
      </c>
      <c r="G5" s="4" t="s">
        <v>27</v>
      </c>
      <c r="H5" s="4" t="s">
        <v>28</v>
      </c>
      <c r="I5" s="4" t="s">
        <v>29</v>
      </c>
      <c r="J5" s="4" t="s">
        <v>30</v>
      </c>
      <c r="K5" s="4" t="s">
        <v>31</v>
      </c>
      <c r="L5" s="4" t="s">
        <v>32</v>
      </c>
      <c r="M5" s="4" t="s">
        <v>33</v>
      </c>
      <c r="N5" s="4" t="s">
        <v>34</v>
      </c>
    </row>
    <row r="6" spans="2:14">
      <c r="B6" s="5" t="s">
        <v>3</v>
      </c>
      <c r="C6" s="6">
        <v>195</v>
      </c>
      <c r="D6" s="4" t="s">
        <v>35</v>
      </c>
      <c r="E6" s="7">
        <v>1</v>
      </c>
      <c r="F6" s="7">
        <v>2</v>
      </c>
      <c r="G6" s="7">
        <v>3</v>
      </c>
      <c r="H6" s="7">
        <v>4</v>
      </c>
      <c r="I6" s="7">
        <v>5</v>
      </c>
      <c r="J6" s="7">
        <v>6</v>
      </c>
      <c r="K6" s="7">
        <v>7</v>
      </c>
      <c r="L6" s="7">
        <v>8</v>
      </c>
      <c r="M6" s="7">
        <v>9</v>
      </c>
      <c r="N6" s="7">
        <v>10</v>
      </c>
    </row>
    <row r="7" spans="2:14">
      <c r="B7" s="5" t="s">
        <v>4</v>
      </c>
      <c r="C7" s="8">
        <v>2850</v>
      </c>
      <c r="D7" s="4" t="s">
        <v>60</v>
      </c>
      <c r="E7" s="7">
        <f>C9*(1+C17*C21)</f>
        <v>0</v>
      </c>
      <c r="F7" s="7">
        <f>E7*(1+$C$17*$C$21)</f>
        <v>0</v>
      </c>
      <c r="G7" s="7">
        <f>F7*(1+$C$17*$C$21)</f>
        <v>0</v>
      </c>
      <c r="H7" s="7">
        <f>G7*(1+$C$17*$C$21)</f>
        <v>0</v>
      </c>
      <c r="I7" s="7">
        <f>H7*(1+$C$17*$C$21)</f>
        <v>0</v>
      </c>
      <c r="J7" s="7">
        <f>I7*(1+$C$17*$C$21)</f>
        <v>0</v>
      </c>
      <c r="K7" s="7">
        <f>J7*(1+$C$17*$C$21)</f>
        <v>0</v>
      </c>
      <c r="L7" s="7">
        <f>K7*(1+$C$17*$C$21)</f>
        <v>0</v>
      </c>
      <c r="M7" s="7">
        <f>L7*(1+$C$17*$C$21)</f>
        <v>0</v>
      </c>
      <c r="N7" s="7">
        <f>M7*(1+$C$17*$C$21)</f>
        <v>0</v>
      </c>
    </row>
    <row r="8" spans="2:14">
      <c r="B8" s="9" t="s">
        <v>44</v>
      </c>
      <c r="C8" s="7">
        <f>C6*C7</f>
        <v>0</v>
      </c>
      <c r="D8" s="4" t="s">
        <v>61</v>
      </c>
      <c r="E8" s="7">
        <f>$C$9*$C$21</f>
        <v>0</v>
      </c>
      <c r="F8" s="7">
        <f>E7*$C$21</f>
        <v>0</v>
      </c>
      <c r="G8" s="7">
        <f>F7*$C$21</f>
        <v>0</v>
      </c>
      <c r="H8" s="7">
        <f>G7*$C$21</f>
        <v>0</v>
      </c>
      <c r="I8" s="7">
        <f>H7*$C$21</f>
        <v>0</v>
      </c>
      <c r="J8" s="7">
        <f>I7*$C$21</f>
        <v>0</v>
      </c>
      <c r="K8" s="7">
        <f>J7*$C$21</f>
        <v>0</v>
      </c>
      <c r="L8" s="7">
        <f>K7*$C$21</f>
        <v>0</v>
      </c>
      <c r="M8" s="7">
        <f>L7*$C$21</f>
        <v>0</v>
      </c>
      <c r="N8" s="7">
        <f>M7*$C$21</f>
        <v>0</v>
      </c>
    </row>
    <row r="9" spans="2:14">
      <c r="B9" s="5" t="s">
        <v>45</v>
      </c>
      <c r="C9" s="8">
        <v>310000</v>
      </c>
      <c r="D9" s="4" t="s">
        <v>62</v>
      </c>
      <c r="E9" s="7">
        <f>$C$9*$C$15</f>
        <v>0</v>
      </c>
      <c r="F9" s="7">
        <f>E7*$C$15</f>
        <v>0</v>
      </c>
      <c r="G9" s="7">
        <f>F7*$C$15</f>
        <v>0</v>
      </c>
      <c r="H9" s="7">
        <f>G7*$C$15</f>
        <v>0</v>
      </c>
      <c r="I9" s="7">
        <f>H7*$C$15</f>
        <v>0</v>
      </c>
      <c r="J9" s="7">
        <f>I7*$C$15</f>
        <v>0</v>
      </c>
      <c r="K9" s="7">
        <f>J7*$C$15</f>
        <v>0</v>
      </c>
      <c r="L9" s="7">
        <f>K7*$C$15</f>
        <v>0</v>
      </c>
      <c r="M9" s="7">
        <f>L7*$C$15</f>
        <v>0</v>
      </c>
      <c r="N9" s="7">
        <f>M7*$C$15</f>
        <v>0</v>
      </c>
    </row>
    <row r="10" spans="2:14">
      <c r="B10" s="9" t="s">
        <v>46</v>
      </c>
      <c r="C10" s="10">
        <f>C8/C9</f>
        <v>0</v>
      </c>
      <c r="D10" s="4" t="s">
        <v>63</v>
      </c>
      <c r="E10" s="7">
        <f>(E8-E9)/(1+$C$15)^1</f>
        <v>0</v>
      </c>
      <c r="F10" s="7">
        <f>(F8-F9)/(1+$C$15)^2</f>
        <v>0</v>
      </c>
      <c r="G10" s="7">
        <f>(G8-G9)/(1+$C$15)^3</f>
        <v>0</v>
      </c>
      <c r="H10" s="7">
        <f>(H8-H9)/(1+$C$15)^4</f>
        <v>0</v>
      </c>
      <c r="I10" s="7">
        <f>(I8-I9)/(1+$C$15)^5</f>
        <v>0</v>
      </c>
      <c r="J10" s="7">
        <f>(J8-J9)/(1+$C$15)^6</f>
        <v>0</v>
      </c>
      <c r="K10" s="7">
        <f>(K8-K9)/(1+$C$15)^7</f>
        <v>0</v>
      </c>
      <c r="L10" s="7">
        <f>(L8-L9)/(1+$C$15)^8</f>
        <v>0</v>
      </c>
      <c r="M10" s="7">
        <f>(M8-M9)/(1+$C$15)^9</f>
        <v>0</v>
      </c>
      <c r="N10" s="7">
        <f>(N8-N9)/(1+$C$15)^10</f>
        <v>0</v>
      </c>
    </row>
    <row r="11" spans="2:14">
      <c r="B11" s="5" t="s">
        <v>47</v>
      </c>
      <c r="C11" s="8">
        <v>49500</v>
      </c>
    </row>
    <row r="12" spans="2:14">
      <c r="B12" s="9" t="s">
        <v>48</v>
      </c>
      <c r="C12" s="13">
        <f>C11/C9</f>
        <v>0</v>
      </c>
    </row>
    <row r="13" spans="2:14">
      <c r="E13" s="11" t="s">
        <v>64</v>
      </c>
      <c r="F13" s="11"/>
      <c r="G13" s="11"/>
      <c r="H13" s="11"/>
      <c r="I13" s="11"/>
      <c r="J13" s="11"/>
      <c r="K13" s="11"/>
      <c r="L13" s="11"/>
      <c r="M13" s="11"/>
      <c r="N13" s="11"/>
    </row>
    <row r="14" spans="2:14">
      <c r="B14" s="3" t="s">
        <v>10</v>
      </c>
      <c r="C14" s="3"/>
      <c r="E14" s="12" t="s">
        <v>65</v>
      </c>
      <c r="F14" s="12"/>
      <c r="G14" s="12"/>
      <c r="H14" s="12"/>
      <c r="I14" s="12"/>
      <c r="J14" s="12"/>
      <c r="K14" s="12"/>
      <c r="L14" s="12"/>
      <c r="M14" s="12"/>
      <c r="N14" s="12"/>
    </row>
    <row r="15" spans="2:14">
      <c r="B15" s="5" t="s">
        <v>49</v>
      </c>
      <c r="C15" s="13">
        <v>0.1</v>
      </c>
      <c r="E15" s="12"/>
      <c r="F15" s="12"/>
      <c r="G15" s="12"/>
      <c r="H15" s="12"/>
      <c r="I15" s="12"/>
      <c r="J15" s="12"/>
      <c r="K15" s="12"/>
      <c r="L15" s="12"/>
      <c r="M15" s="12"/>
      <c r="N15" s="12"/>
    </row>
    <row r="16" spans="2:14">
      <c r="B16" s="5" t="s">
        <v>12</v>
      </c>
      <c r="C16" s="13">
        <v>0.025</v>
      </c>
      <c r="E16" s="12"/>
      <c r="F16" s="12"/>
      <c r="G16" s="12"/>
      <c r="H16" s="12"/>
      <c r="I16" s="12"/>
      <c r="J16" s="12"/>
      <c r="K16" s="12"/>
      <c r="L16" s="12"/>
      <c r="M16" s="12"/>
      <c r="N16" s="12"/>
    </row>
    <row r="17" spans="2:14">
      <c r="B17" s="9" t="s">
        <v>50</v>
      </c>
      <c r="C17" s="13">
        <v>0.35</v>
      </c>
      <c r="E17" s="12"/>
      <c r="F17" s="12"/>
      <c r="G17" s="12"/>
      <c r="H17" s="12"/>
      <c r="I17" s="12"/>
      <c r="J17" s="12"/>
      <c r="K17" s="12"/>
      <c r="L17" s="12"/>
      <c r="M17" s="12"/>
      <c r="N17" s="12"/>
    </row>
    <row r="18" spans="2:14">
      <c r="B18" s="5" t="s">
        <v>51</v>
      </c>
      <c r="C18" s="7">
        <f>C11*(1-C17)</f>
        <v>0</v>
      </c>
      <c r="E18" s="12"/>
      <c r="F18" s="12"/>
      <c r="G18" s="12"/>
      <c r="H18" s="12"/>
      <c r="I18" s="12"/>
      <c r="J18" s="12"/>
      <c r="K18" s="12"/>
      <c r="L18" s="12"/>
      <c r="M18" s="12"/>
      <c r="N18" s="12"/>
    </row>
    <row r="19" spans="2:14">
      <c r="E19" s="12"/>
      <c r="F19" s="12"/>
      <c r="G19" s="12"/>
      <c r="H19" s="12"/>
      <c r="I19" s="12"/>
      <c r="J19" s="12"/>
      <c r="K19" s="12"/>
      <c r="L19" s="12"/>
      <c r="M19" s="12"/>
      <c r="N19" s="12"/>
    </row>
    <row r="20" spans="2:14">
      <c r="B20" s="3" t="s">
        <v>52</v>
      </c>
      <c r="C20" s="3"/>
    </row>
    <row r="21" spans="2:14">
      <c r="B21" s="5" t="s">
        <v>53</v>
      </c>
      <c r="C21" s="14">
        <v>0.155</v>
      </c>
    </row>
    <row r="22" spans="2:14">
      <c r="B22" s="5" t="s">
        <v>54</v>
      </c>
      <c r="C22" s="14">
        <v>0.075</v>
      </c>
    </row>
    <row r="24" spans="2:14">
      <c r="B24" s="3" t="s">
        <v>55</v>
      </c>
      <c r="C24" s="3"/>
    </row>
    <row r="25" spans="2:14">
      <c r="B25" s="9" t="s">
        <v>56</v>
      </c>
      <c r="C25" s="7">
        <f>C9</f>
        <v>0</v>
      </c>
    </row>
    <row r="26" spans="2:14">
      <c r="B26" s="9" t="s">
        <v>57</v>
      </c>
      <c r="C26" s="7">
        <f>SUM(E10:N10)</f>
        <v>0</v>
      </c>
    </row>
    <row r="27" spans="2:14">
      <c r="B27" s="9" t="s">
        <v>58</v>
      </c>
      <c r="C27" s="7">
        <f>(N7*(C21-C15))/(C15-C16)</f>
        <v>0</v>
      </c>
    </row>
    <row r="28" spans="2:14">
      <c r="B28" s="9" t="s">
        <v>59</v>
      </c>
      <c r="C28" s="7">
        <f>C27/(1+C15)^10</f>
        <v>0</v>
      </c>
    </row>
    <row r="29" spans="2:14">
      <c r="B29" s="5" t="s">
        <v>22</v>
      </c>
      <c r="C29" s="7">
        <f>C25+C26+C28</f>
        <v>0</v>
      </c>
    </row>
    <row r="30" spans="2:14">
      <c r="B30" s="5" t="s">
        <v>23</v>
      </c>
      <c r="C30" s="15">
        <f>C29/C7</f>
        <v>0</v>
      </c>
    </row>
    <row r="31" spans="2:14">
      <c r="B31" s="5" t="s">
        <v>24</v>
      </c>
      <c r="C31" s="16">
        <f>C30-C6</f>
        <v>0</v>
      </c>
    </row>
  </sheetData>
  <mergeCells count="8">
    <mergeCell ref="B2:N2"/>
    <mergeCell ref="B3:N3"/>
    <mergeCell ref="B5:C5"/>
    <mergeCell ref="B14:C14"/>
    <mergeCell ref="B20:C20"/>
    <mergeCell ref="B24:C24"/>
    <mergeCell ref="E13:N13"/>
    <mergeCell ref="E14:N19"/>
  </mergeCells>
  <printOptions gridLines="1"/>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64748B"/>
  </sheetPr>
  <dimension ref="B2:C13"/>
  <sheetViews>
    <sheetView workbookViewId="0"/>
  </sheetViews>
  <sheetFormatPr defaultRowHeight="15"/>
  <cols>
    <col min="1" max="1" width="3.7109375" customWidth="1"/>
    <col min="2" max="2" width="28.7109375" customWidth="1"/>
    <col min="3" max="3" width="85.7109375" customWidth="1"/>
  </cols>
  <sheetData>
    <row r="2" spans="2:3" ht="32" customHeight="1">
      <c r="B2" s="1" t="s">
        <v>66</v>
      </c>
      <c r="C2" s="1"/>
    </row>
    <row r="3" spans="2:3" ht="20" customHeight="1">
      <c r="B3" s="2" t="s">
        <v>67</v>
      </c>
      <c r="C3" s="2"/>
    </row>
    <row r="5" spans="2:3" ht="28" customHeight="1">
      <c r="B5" s="5" t="s">
        <v>68</v>
      </c>
      <c r="C5" s="17" t="s">
        <v>69</v>
      </c>
    </row>
    <row r="7" spans="2:3" ht="28" customHeight="1">
      <c r="B7" s="5" t="s">
        <v>70</v>
      </c>
      <c r="C7" s="17" t="s">
        <v>71</v>
      </c>
    </row>
    <row r="9" spans="2:3" ht="28" customHeight="1">
      <c r="B9" s="5" t="s">
        <v>72</v>
      </c>
      <c r="C9" s="17" t="s">
        <v>73</v>
      </c>
    </row>
    <row r="11" spans="2:3" ht="28" customHeight="1">
      <c r="B11" s="5" t="s">
        <v>74</v>
      </c>
      <c r="C11" s="17" t="s">
        <v>75</v>
      </c>
    </row>
    <row r="13" spans="2:3" ht="28" customHeight="1">
      <c r="B13" s="5" t="s">
        <v>76</v>
      </c>
      <c r="C13" s="17" t="s">
        <v>77</v>
      </c>
    </row>
  </sheetData>
  <mergeCells count="2">
    <mergeCell ref="B2:C2"/>
    <mergeCell ref="B3:C3"/>
  </mergeCells>
  <printOptions gridLine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Non-Financial (FCFF)</vt:lpstr>
      <vt:lpstr>Financials (FCFE &amp; ROE)</vt:lpstr>
      <vt:lpstr>Methodology &amp; 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2026-10-09T13:41:59Z</dcterms:created>
  <dcterms:modified xsi:type="dcterms:W3CDTF">2026-10-09T13:41:59Z</dcterms:modified>
</cp:coreProperties>
</file>