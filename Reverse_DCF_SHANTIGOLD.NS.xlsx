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n-Financial (FCFF in ₹ Cr)" sheetId="1" r:id="rId1"/>
    <sheet name="Financials (ROE in ₹ Cr)" sheetId="2" r:id="rId2"/>
    <sheet name="India Valuation Guidelines" sheetId="3" r:id="rId3"/>
  </sheets>
  <calcPr calcId="124519" fullCalcOnLoad="1"/>
</workbook>
</file>

<file path=xl/sharedStrings.xml><?xml version="1.0" encoding="utf-8"?>
<sst xmlns="http://schemas.openxmlformats.org/spreadsheetml/2006/main" count="100" uniqueCount="83">
  <si>
    <t>NSE/BSE REVERSE DCF: SHANTI GOLD INTERNATIONAL LIMITED (SHANTIGOLD.NS) - FCFF METHOD</t>
  </si>
  <si>
    <t>Indian Corporate Valuation • Rating: CRISIL / CARE AA+ • Base FCFF: ₹109.80 Cr • Units: ₹ Crore</t>
  </si>
  <si>
    <t>1. MARKET &amp; CAPITAL STRUCTURE (₹ Cr)</t>
  </si>
  <si>
    <t>Current Market Share Price (₹)</t>
  </si>
  <si>
    <t>Diluted Shares Outstanding (Cr shares)</t>
  </si>
  <si>
    <t>Current Market Capitalization (₹ Cr)</t>
  </si>
  <si>
    <t>Total Debt / Borrowings (₹ Cr)</t>
  </si>
  <si>
    <t>Less: Cash &amp; Liquid Balances (₹ Cr)</t>
  </si>
  <si>
    <t>Net Debt (₹ Cr)</t>
  </si>
  <si>
    <t>Current Enterprise Value (₹ Cr)</t>
  </si>
  <si>
    <t>2. VALUATION PARAMETERS</t>
  </si>
  <si>
    <t>Discount Rate (Rating-Derived WACC)</t>
  </si>
  <si>
    <t>Terminal Growth Rate (g)</t>
  </si>
  <si>
    <t>Normalized Base Year FCFF (₹ Cr)</t>
  </si>
  <si>
    <t>3. GOAL SEEK VARIABLE (IMPLIED GROWTH)</t>
  </si>
  <si>
    <t>Implied 10-Yr FCFF CAGR (%) [CHANGING CELL]</t>
  </si>
  <si>
    <t>4. VALUATION RECONCILIATION</t>
  </si>
  <si>
    <t>PV of 10-Year Discrete Cash Flows (₹ Cr)</t>
  </si>
  <si>
    <t>Terminal Value at Year 10 (₹ Cr)</t>
  </si>
  <si>
    <t>PV of Terminal Value (₹ Cr)</t>
  </si>
  <si>
    <t>Model Enterprise Value (₹ Cr)</t>
  </si>
  <si>
    <t>Less: Net Debt (₹ Cr)</t>
  </si>
  <si>
    <t>Model Equity Value (₹ Cr)</t>
  </si>
  <si>
    <t>Model Share Price (₹) [TARGET CELL]</t>
  </si>
  <si>
    <t>Variance vs Market Price (₹)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</si>
  <si>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</si>
  <si>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</si>
  <si>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</si>
  <si>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</si>
  <si>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</si>
  <si>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</si>
  <si>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</si>
  <si>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</si>
  <si>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</si>
  <si>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</si>
  <si>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Year</t>
  </si>
  <si>
    <t>FCFF (₹ Cr)</t>
  </si>
  <si>
    <t>Discount Factor</t>
  </si>
  <si>
    <t>PV of FCFF (₹ Cr)</t>
  </si>
  <si>
    <t>📌 EXCEL GOAL SEEK INSTRUCTIONS FOR SHANTIGOLD.NS</t>
  </si>
  <si>
    <t>1. Open Goal Seek: Press Alt + A + W + G (Data tab &gt; What-If Analysis &gt; Goal Seek).
2. Set cell: C29  (Model Share Price in ₹)
   To value: 380.55  (Current Market Price)
   By changing cell: C20  (Implied FCFF CAGR %)
3. Click OK to instantly solve the market-implied growth rate!</t>
  </si>
  <si>
    <t>NSE/BSE REVERSE DCF: HDFC BANK LIMITED (HDFCBANK.NS) - BANK ROE METHOD</t>
  </si>
  <si>
    <t>Indian Banking &amp; NBFC Valuation • Trailing Net Income: ₹79,012.77 Cr • Cost of Equity: 11.50%</t>
  </si>
  <si>
    <t>1. BANK / FINANCIAL PROFILE (₹ Cr)</t>
  </si>
  <si>
    <t>Current Share Price (₹)</t>
  </si>
  <si>
    <t>Market Capitalization (₹ Cr)</t>
  </si>
  <si>
    <t>Current Net Worth / Book Value (₹ Cr)</t>
  </si>
  <si>
    <t>Current Price-to-Book (P/B Multiple)</t>
  </si>
  <si>
    <t>Trailing Net Income / PAT (₹ Cr)</t>
  </si>
  <si>
    <t>Current ROE (PAT / Net Worth)</t>
  </si>
  <si>
    <t>Cost of Equity (Ke) [NOT WACC]</t>
  </si>
  <si>
    <t>Capital Retention Ratio (b)</t>
  </si>
  <si>
    <t>Base Year FCFE (₹ Cr) [PAT*(1-b)]</t>
  </si>
  <si>
    <t>3. GOAL SEEK VARIABLE</t>
  </si>
  <si>
    <t>Implied Sustainable ROE (%) [VARIABLE A]</t>
  </si>
  <si>
    <t>Implied FCFE CAGR (%) [VARIABLE B]</t>
  </si>
  <si>
    <t>4. EXCESS RETURN VALUATION</t>
  </si>
  <si>
    <t>Starting Net Worth (₹ Cr)</t>
  </si>
  <si>
    <t>PV of 10-Year Excess Returns (₹ Cr)</t>
  </si>
  <si>
    <t>Terminal Excess Return (₹ Cr)</t>
  </si>
  <si>
    <t>PV of Terminal Excess Return (₹ Cr)</t>
  </si>
  <si>
    <t>Book Value (₹ Cr)</t>
  </si>
  <si>
    <t>Net Income (₹ Cr)</t>
  </si>
  <si>
    <t>Equity Charge (₹ Cr)</t>
  </si>
  <si>
    <t>PV Excess Return (₹ Cr)</t>
  </si>
  <si>
    <t>📌 BANK GOAL SEEK INSTRUCTIONS FOR HDFCBANK.NS</t>
  </si>
  <si>
    <t>1. Open Goal Seek: Alt + A + W + G
2. Set cell: C30  (Model Share Price in ₹)
   To value: 707.25  (Target Bank Share Price)
   By changing cell: C21  (Implied Sustainable ROE %)
3. Click OK to solve the sustainable Return on Equity priced in by the Indian market!</t>
  </si>
  <si>
    <t>INDIAN CORPORATE VALUATION METHODOLOGY (NSE &amp; BSE)</t>
  </si>
  <si>
    <t>Theoretical Foundation, Mathematical Formulations, and Ind AS / RBI Standards</t>
  </si>
  <si>
    <t>Core Philosophy</t>
  </si>
  <si>
    <t>Reverse DCF asks: 'What operational trajectory must this Indian company achieve to justify its current market price?' rather than projecting subjective growth.</t>
  </si>
  <si>
    <t>Standard Indian Units</t>
  </si>
  <si>
    <t>All figures are standardized strictly in ₹ Crore (1 Crore = 100 Lakhs = 10,000,000 INR). Diluted share counts are in Crore shares, so Share Price (₹) = Equity Value (₹ Cr) / Shares (Cr).</t>
  </si>
  <si>
    <t>India Risk-Free Rate</t>
  </si>
  <si>
    <t>Benchmarked against the 10-Year Government of India (G-Sec) bond yield (~7.00% p.a.), monitored via RBI / CCIL.</t>
  </si>
  <si>
    <t>India Equity Risk Premium</t>
  </si>
  <si>
    <t>Total ERP is set at 7.00%, incorporating mature market ERP (5.00%) plus India Sovereign Country Risk Premium (2.00%) per Damodaran's emerging market datasets.</t>
  </si>
  <si>
    <t>Corporate Tax Regime</t>
  </si>
  <si>
    <t>Statutory tax rate is modeled at 25.17% (Section 115BAA: 22% base tax + 10% surcharge + 4% cess).</t>
  </si>
  <si>
    <t>Rating Agencies Spread</t>
  </si>
  <si>
    <t>Credit default spreads reflect domestic Indian credit rating scales (CRISIL / CARE / ICRA / India Ratings) from AAA down to BBB.</t>
  </si>
  <si>
    <t>Financial Institutions (Banks/NBFCs)</t>
  </si>
  <si>
    <t>Indian banks (HDFC Bank, ICICI Bank, SBI) cannot use FCFF because debt is raw operational material. Valued via Excess Return over Book Value discounted at Ke.</t>
  </si>
</sst>
</file>

<file path=xl/styles.xml><?xml version="1.0" encoding="utf-8"?>
<styleSheet xmlns="http://schemas.openxmlformats.org/spreadsheetml/2006/main">
  <numFmts count="5">
    <numFmt numFmtId="164" formatCode="[$₹-439] #,##0.00"/>
    <numFmt numFmtId="165" formatCode="#,##0.00"/>
    <numFmt numFmtId="166" formatCode="#,##0.0000"/>
    <numFmt numFmtId="167" formatCode="0.0000"/>
    <numFmt numFmtId="168" formatCode="0.00%"/>
  </numFmts>
  <fonts count="1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0F172A"/>
      <name val="Calibri"/>
      <family val="2"/>
      <scheme val="minor"/>
    </font>
    <font>
      <b/>
      <sz val="10"/>
      <color rgb="FF1E3A8A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2400E"/>
      <name val="Calibri"/>
      <family val="2"/>
      <scheme val="minor"/>
    </font>
    <font>
      <sz val="9"/>
      <color rgb="FF78350F"/>
      <name val="Calibri"/>
      <family val="2"/>
      <scheme val="minor"/>
    </font>
    <font>
      <b/>
      <sz val="11"/>
      <color rgb="FF7C2D12"/>
      <name val="Calibri"/>
      <family val="2"/>
      <scheme val="minor"/>
    </font>
    <font>
      <b/>
      <sz val="11"/>
      <color rgb="FF0F172A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1F5F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93C5FD"/>
      </top>
      <bottom style="thin">
        <color rgb="FF93C5FD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/>
      <diagonal/>
    </border>
    <border>
      <left style="thin">
        <color rgb="FFF59E0B"/>
      </left>
      <right style="thin">
        <color rgb="FFF59E0B"/>
      </right>
      <top/>
      <bottom style="thin">
        <color rgb="FFF59E0B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 style="medium">
        <color rgb="FF22C55E"/>
      </left>
      <right style="medium">
        <color rgb="FF22C55E"/>
      </right>
      <top style="medium">
        <color rgb="FF22C55E"/>
      </top>
      <bottom style="medium">
        <color rgb="FF22C55E"/>
      </bottom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6" fillId="6" borderId="3" xfId="0" applyNumberFormat="1" applyFont="1" applyFill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166" fontId="6" fillId="6" borderId="3" xfId="0" applyNumberFormat="1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7" fontId="7" fillId="0" borderId="4" xfId="0" applyNumberFormat="1" applyFont="1" applyBorder="1" applyAlignment="1">
      <alignment horizontal="right"/>
    </xf>
    <xf numFmtId="165" fontId="6" fillId="6" borderId="3" xfId="0" applyNumberFormat="1" applyFont="1" applyFill="1" applyBorder="1" applyAlignment="1">
      <alignment horizontal="right"/>
    </xf>
    <xf numFmtId="0" fontId="9" fillId="7" borderId="5" xfId="0" applyFont="1" applyFill="1" applyBorder="1"/>
    <xf numFmtId="0" fontId="10" fillId="8" borderId="6" xfId="0" applyFont="1" applyFill="1" applyBorder="1" applyAlignment="1">
      <alignment vertical="top" wrapText="1"/>
    </xf>
    <xf numFmtId="168" fontId="6" fillId="6" borderId="3" xfId="0" applyNumberFormat="1" applyFont="1" applyFill="1" applyBorder="1" applyAlignment="1">
      <alignment horizontal="right"/>
    </xf>
    <xf numFmtId="168" fontId="11" fillId="7" borderId="7" xfId="0" applyNumberFormat="1" applyFont="1" applyFill="1" applyBorder="1" applyAlignment="1">
      <alignment horizontal="right"/>
    </xf>
    <xf numFmtId="164" fontId="12" fillId="9" borderId="8" xfId="0" applyNumberFormat="1" applyFont="1" applyFill="1" applyBorder="1" applyAlignment="1">
      <alignment horizontal="right"/>
    </xf>
    <xf numFmtId="164" fontId="12" fillId="10" borderId="9" xfId="0" applyNumberFormat="1" applyFont="1" applyFill="1" applyBorder="1" applyAlignment="1">
      <alignment horizontal="right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563EB"/>
  </sheetPr>
  <dimension ref="B2:N30"/>
  <sheetViews>
    <sheetView tabSelected="1" workbookViewId="0"/>
  </sheetViews>
  <sheetFormatPr defaultRowHeight="15"/>
  <cols>
    <col min="1" max="1" width="3.7109375" customWidth="1"/>
    <col min="2" max="2" width="40.7109375" customWidth="1"/>
    <col min="3" max="3" width="18.7109375" customWidth="1"/>
    <col min="4" max="4" width="4.7109375" customWidth="1"/>
    <col min="5" max="14" width="13.7109375" customWidth="1"/>
  </cols>
  <sheetData>
    <row r="2" spans="2:14" ht="32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20" customHeight="1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2:14">
      <c r="B5" s="3" t="s">
        <v>2</v>
      </c>
      <c r="C5" s="3"/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</row>
    <row r="6" spans="2:14">
      <c r="B6" s="5" t="s">
        <v>3</v>
      </c>
      <c r="C6" s="6">
        <v>380.55</v>
      </c>
      <c r="D6" s="4" t="s">
        <v>35</v>
      </c>
      <c r="E6" s="7">
        <v>1</v>
      </c>
      <c r="F6" s="7">
        <v>2</v>
      </c>
      <c r="G6" s="7">
        <v>3</v>
      </c>
      <c r="H6" s="7">
        <v>4</v>
      </c>
      <c r="I6" s="7">
        <v>5</v>
      </c>
      <c r="J6" s="7">
        <v>6</v>
      </c>
      <c r="K6" s="7">
        <v>7</v>
      </c>
      <c r="L6" s="7">
        <v>8</v>
      </c>
      <c r="M6" s="7">
        <v>9</v>
      </c>
      <c r="N6" s="7">
        <v>10</v>
      </c>
    </row>
    <row r="7" spans="2:14">
      <c r="B7" s="5" t="s">
        <v>4</v>
      </c>
      <c r="C7" s="8">
        <v>7.2135</v>
      </c>
      <c r="D7" s="4" t="s">
        <v>36</v>
      </c>
      <c r="E7" s="7">
        <f>C17*(1+C20)^1</f>
        <v>0</v>
      </c>
      <c r="F7" s="7">
        <f>C17*(1+C20)^2</f>
        <v>0</v>
      </c>
      <c r="G7" s="7">
        <f>C17*(1+C20)^3</f>
        <v>0</v>
      </c>
      <c r="H7" s="7">
        <f>C17*(1+C20)^4</f>
        <v>0</v>
      </c>
      <c r="I7" s="7">
        <f>C17*(1+C20)^5</f>
        <v>0</v>
      </c>
      <c r="J7" s="7">
        <f>C17*(1+C20)^6</f>
        <v>0</v>
      </c>
      <c r="K7" s="7">
        <f>C17*(1+C20)^7</f>
        <v>0</v>
      </c>
      <c r="L7" s="7">
        <f>C17*(1+C20)^8</f>
        <v>0</v>
      </c>
      <c r="M7" s="7">
        <f>C17*(1+C20)^9</f>
        <v>0</v>
      </c>
      <c r="N7" s="7">
        <f>C17*(1+C20)^10</f>
        <v>0</v>
      </c>
    </row>
    <row r="8" spans="2:14">
      <c r="B8" s="9" t="s">
        <v>5</v>
      </c>
      <c r="C8" s="7">
        <f>C6*C7</f>
        <v>0</v>
      </c>
      <c r="D8" s="4" t="s">
        <v>37</v>
      </c>
      <c r="E8" s="10">
        <f>1/(1+$C$15)^1</f>
        <v>0</v>
      </c>
      <c r="F8" s="10">
        <f>1/(1+$C$15)^2</f>
        <v>0</v>
      </c>
      <c r="G8" s="10">
        <f>1/(1+$C$15)^3</f>
        <v>0</v>
      </c>
      <c r="H8" s="10">
        <f>1/(1+$C$15)^4</f>
        <v>0</v>
      </c>
      <c r="I8" s="10">
        <f>1/(1+$C$15)^5</f>
        <v>0</v>
      </c>
      <c r="J8" s="10">
        <f>1/(1+$C$15)^6</f>
        <v>0</v>
      </c>
      <c r="K8" s="10">
        <f>1/(1+$C$15)^7</f>
        <v>0</v>
      </c>
      <c r="L8" s="10">
        <f>1/(1+$C$15)^8</f>
        <v>0</v>
      </c>
      <c r="M8" s="10">
        <f>1/(1+$C$15)^9</f>
        <v>0</v>
      </c>
      <c r="N8" s="10">
        <f>1/(1+$C$15)^10</f>
        <v>0</v>
      </c>
    </row>
    <row r="9" spans="2:14">
      <c r="B9" s="9" t="s">
        <v>6</v>
      </c>
      <c r="C9" s="11">
        <v>216.24</v>
      </c>
      <c r="D9" s="4" t="s">
        <v>38</v>
      </c>
      <c r="E9" s="7">
        <f>E7*E8</f>
        <v>0</v>
      </c>
      <c r="F9" s="7">
        <f>F7*F8</f>
        <v>0</v>
      </c>
      <c r="G9" s="7">
        <f>G7*G8</f>
        <v>0</v>
      </c>
      <c r="H9" s="7">
        <f>H7*H8</f>
        <v>0</v>
      </c>
      <c r="I9" s="7">
        <f>I7*I8</f>
        <v>0</v>
      </c>
      <c r="J9" s="7">
        <f>J7*J8</f>
        <v>0</v>
      </c>
      <c r="K9" s="7">
        <f>K7*K8</f>
        <v>0</v>
      </c>
      <c r="L9" s="7">
        <f>L7*L8</f>
        <v>0</v>
      </c>
      <c r="M9" s="7">
        <f>M7*M8</f>
        <v>0</v>
      </c>
      <c r="N9" s="7">
        <f>N7*N8</f>
        <v>0</v>
      </c>
    </row>
    <row r="10" spans="2:14">
      <c r="B10" s="9" t="s">
        <v>7</v>
      </c>
      <c r="C10" s="11">
        <v>49.18</v>
      </c>
    </row>
    <row r="11" spans="2:14">
      <c r="B11" s="5" t="s">
        <v>8</v>
      </c>
      <c r="C11" s="7">
        <f>C9-C10</f>
        <v>0</v>
      </c>
    </row>
    <row r="12" spans="2:14">
      <c r="B12" s="5" t="s">
        <v>9</v>
      </c>
      <c r="C12" s="7">
        <f>C8+C11</f>
        <v>0</v>
      </c>
      <c r="E12" s="12" t="s">
        <v>39</v>
      </c>
      <c r="F12" s="12"/>
      <c r="G12" s="12"/>
      <c r="H12" s="12"/>
      <c r="I12" s="12"/>
      <c r="J12" s="12"/>
      <c r="K12" s="12"/>
      <c r="L12" s="12"/>
      <c r="M12" s="12"/>
      <c r="N12" s="12"/>
    </row>
    <row r="13" spans="2:14">
      <c r="E13" s="13" t="s">
        <v>40</v>
      </c>
      <c r="F13" s="13"/>
      <c r="G13" s="13"/>
      <c r="H13" s="13"/>
      <c r="I13" s="13"/>
      <c r="J13" s="13"/>
      <c r="K13" s="13"/>
      <c r="L13" s="13"/>
      <c r="M13" s="13"/>
      <c r="N13" s="13"/>
    </row>
    <row r="14" spans="2:14">
      <c r="B14" s="3" t="s">
        <v>10</v>
      </c>
      <c r="C14" s="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2:14">
      <c r="B15" s="5" t="s">
        <v>11</v>
      </c>
      <c r="C15" s="14">
        <v>0.1308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2:14">
      <c r="B16" s="5" t="s">
        <v>12</v>
      </c>
      <c r="C16" s="14">
        <v>0.05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4">
      <c r="B17" s="5" t="s">
        <v>13</v>
      </c>
      <c r="C17" s="11">
        <v>109.8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2:14"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2:14">
      <c r="B19" s="3" t="s">
        <v>14</v>
      </c>
      <c r="C19" s="3"/>
    </row>
    <row r="20" spans="2:14">
      <c r="B20" s="5" t="s">
        <v>15</v>
      </c>
      <c r="C20" s="15">
        <v>0.16</v>
      </c>
    </row>
    <row r="22" spans="2:14">
      <c r="B22" s="3" t="s">
        <v>16</v>
      </c>
      <c r="C22" s="3"/>
    </row>
    <row r="23" spans="2:14">
      <c r="B23" s="9" t="s">
        <v>17</v>
      </c>
      <c r="C23" s="7">
        <f>SUM(E9:N9)</f>
        <v>0</v>
      </c>
    </row>
    <row r="24" spans="2:14">
      <c r="B24" s="9" t="s">
        <v>18</v>
      </c>
      <c r="C24" s="7">
        <f>N7*(1+C16)/(C15-C16)</f>
        <v>0</v>
      </c>
    </row>
    <row r="25" spans="2:14">
      <c r="B25" s="9" t="s">
        <v>19</v>
      </c>
      <c r="C25" s="7">
        <f>C24/(1+C15)^10</f>
        <v>0</v>
      </c>
    </row>
    <row r="26" spans="2:14">
      <c r="B26" s="5" t="s">
        <v>20</v>
      </c>
      <c r="C26" s="7">
        <f>C23+C25</f>
        <v>0</v>
      </c>
    </row>
    <row r="27" spans="2:14">
      <c r="B27" s="9" t="s">
        <v>21</v>
      </c>
      <c r="C27" s="7">
        <f>C11</f>
        <v>0</v>
      </c>
    </row>
    <row r="28" spans="2:14">
      <c r="B28" s="5" t="s">
        <v>22</v>
      </c>
      <c r="C28" s="7">
        <f>C26-C27</f>
        <v>0</v>
      </c>
    </row>
    <row r="29" spans="2:14">
      <c r="B29" s="5" t="s">
        <v>23</v>
      </c>
      <c r="C29" s="16">
        <f>C28/C7</f>
        <v>0</v>
      </c>
    </row>
    <row r="30" spans="2:14">
      <c r="B30" s="5" t="s">
        <v>24</v>
      </c>
      <c r="C30" s="17">
        <f>C29-C6</f>
        <v>0</v>
      </c>
    </row>
  </sheetData>
  <mergeCells count="8">
    <mergeCell ref="B2:N2"/>
    <mergeCell ref="B3:N3"/>
    <mergeCell ref="B5:C5"/>
    <mergeCell ref="B14:C14"/>
    <mergeCell ref="B19:C19"/>
    <mergeCell ref="B22:C22"/>
    <mergeCell ref="E12:N12"/>
    <mergeCell ref="E13:N18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59669"/>
  </sheetPr>
  <dimension ref="B2:N31"/>
  <sheetViews>
    <sheetView workbookViewId="0"/>
  </sheetViews>
  <sheetFormatPr defaultRowHeight="15"/>
  <cols>
    <col min="1" max="1" width="3.7109375" customWidth="1"/>
    <col min="2" max="2" width="40.7109375" customWidth="1"/>
    <col min="3" max="3" width="18.7109375" customWidth="1"/>
    <col min="4" max="4" width="4.7109375" customWidth="1"/>
    <col min="5" max="14" width="13.7109375" customWidth="1"/>
  </cols>
  <sheetData>
    <row r="2" spans="2:14" ht="32" customHeight="1">
      <c r="B2" s="1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20" customHeight="1">
      <c r="B3" s="2" t="s">
        <v>42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2:14">
      <c r="B5" s="3" t="s">
        <v>43</v>
      </c>
      <c r="C5" s="3"/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</row>
    <row r="6" spans="2:14">
      <c r="B6" s="5" t="s">
        <v>44</v>
      </c>
      <c r="C6" s="6">
        <v>707.25</v>
      </c>
      <c r="D6" s="4" t="s">
        <v>35</v>
      </c>
      <c r="E6" s="7">
        <v>1</v>
      </c>
      <c r="F6" s="7">
        <v>2</v>
      </c>
      <c r="G6" s="7">
        <v>3</v>
      </c>
      <c r="H6" s="7">
        <v>4</v>
      </c>
      <c r="I6" s="7">
        <v>5</v>
      </c>
      <c r="J6" s="7">
        <v>6</v>
      </c>
      <c r="K6" s="7">
        <v>7</v>
      </c>
      <c r="L6" s="7">
        <v>8</v>
      </c>
      <c r="M6" s="7">
        <v>9</v>
      </c>
      <c r="N6" s="7">
        <v>10</v>
      </c>
    </row>
    <row r="7" spans="2:14">
      <c r="B7" s="5" t="s">
        <v>4</v>
      </c>
      <c r="C7" s="8">
        <v>1541.8479</v>
      </c>
      <c r="D7" s="4" t="s">
        <v>61</v>
      </c>
      <c r="E7" s="7">
        <f>C9*(1+C17*C21)</f>
        <v>0</v>
      </c>
      <c r="F7" s="7">
        <f>E7*(1+$C$17*$C$21)</f>
        <v>0</v>
      </c>
      <c r="G7" s="7">
        <f>F7*(1+$C$17*$C$21)</f>
        <v>0</v>
      </c>
      <c r="H7" s="7">
        <f>G7*(1+$C$17*$C$21)</f>
        <v>0</v>
      </c>
      <c r="I7" s="7">
        <f>H7*(1+$C$17*$C$21)</f>
        <v>0</v>
      </c>
      <c r="J7" s="7">
        <f>I7*(1+$C$17*$C$21)</f>
        <v>0</v>
      </c>
      <c r="K7" s="7">
        <f>J7*(1+$C$17*$C$21)</f>
        <v>0</v>
      </c>
      <c r="L7" s="7">
        <f>K7*(1+$C$17*$C$21)</f>
        <v>0</v>
      </c>
      <c r="M7" s="7">
        <f>L7*(1+$C$17*$C$21)</f>
        <v>0</v>
      </c>
      <c r="N7" s="7">
        <f>M7*(1+$C$17*$C$21)</f>
        <v>0</v>
      </c>
    </row>
    <row r="8" spans="2:14">
      <c r="B8" s="9" t="s">
        <v>45</v>
      </c>
      <c r="C8" s="7">
        <f>C6*C7</f>
        <v>0</v>
      </c>
      <c r="D8" s="4" t="s">
        <v>62</v>
      </c>
      <c r="E8" s="7">
        <f>$C$9*$C$21</f>
        <v>0</v>
      </c>
      <c r="F8" s="7">
        <f>E7*$C$21</f>
        <v>0</v>
      </c>
      <c r="G8" s="7">
        <f>F7*$C$21</f>
        <v>0</v>
      </c>
      <c r="H8" s="7">
        <f>G7*$C$21</f>
        <v>0</v>
      </c>
      <c r="I8" s="7">
        <f>H7*$C$21</f>
        <v>0</v>
      </c>
      <c r="J8" s="7">
        <f>I7*$C$21</f>
        <v>0</v>
      </c>
      <c r="K8" s="7">
        <f>J7*$C$21</f>
        <v>0</v>
      </c>
      <c r="L8" s="7">
        <f>K7*$C$21</f>
        <v>0</v>
      </c>
      <c r="M8" s="7">
        <f>L7*$C$21</f>
        <v>0</v>
      </c>
      <c r="N8" s="7">
        <f>M7*$C$21</f>
        <v>0</v>
      </c>
    </row>
    <row r="9" spans="2:14">
      <c r="B9" s="5" t="s">
        <v>46</v>
      </c>
      <c r="C9" s="11">
        <v>607199.76</v>
      </c>
      <c r="D9" s="4" t="s">
        <v>63</v>
      </c>
      <c r="E9" s="7">
        <f>$C$9*$C$15</f>
        <v>0</v>
      </c>
      <c r="F9" s="7">
        <f>E7*$C$15</f>
        <v>0</v>
      </c>
      <c r="G9" s="7">
        <f>F7*$C$15</f>
        <v>0</v>
      </c>
      <c r="H9" s="7">
        <f>G7*$C$15</f>
        <v>0</v>
      </c>
      <c r="I9" s="7">
        <f>H7*$C$15</f>
        <v>0</v>
      </c>
      <c r="J9" s="7">
        <f>I7*$C$15</f>
        <v>0</v>
      </c>
      <c r="K9" s="7">
        <f>J7*$C$15</f>
        <v>0</v>
      </c>
      <c r="L9" s="7">
        <f>K7*$C$15</f>
        <v>0</v>
      </c>
      <c r="M9" s="7">
        <f>L7*$C$15</f>
        <v>0</v>
      </c>
      <c r="N9" s="7">
        <f>M7*$C$15</f>
        <v>0</v>
      </c>
    </row>
    <row r="10" spans="2:14">
      <c r="B10" s="9" t="s">
        <v>47</v>
      </c>
      <c r="C10" s="10">
        <f>C8/C9</f>
        <v>0</v>
      </c>
      <c r="D10" s="4" t="s">
        <v>64</v>
      </c>
      <c r="E10" s="7">
        <f>(E8-E9)/(1+$C$15)^1</f>
        <v>0</v>
      </c>
      <c r="F10" s="7">
        <f>(F8-F9)/(1+$C$15)^2</f>
        <v>0</v>
      </c>
      <c r="G10" s="7">
        <f>(G8-G9)/(1+$C$15)^3</f>
        <v>0</v>
      </c>
      <c r="H10" s="7">
        <f>(H8-H9)/(1+$C$15)^4</f>
        <v>0</v>
      </c>
      <c r="I10" s="7">
        <f>(I8-I9)/(1+$C$15)^5</f>
        <v>0</v>
      </c>
      <c r="J10" s="7">
        <f>(J8-J9)/(1+$C$15)^6</f>
        <v>0</v>
      </c>
      <c r="K10" s="7">
        <f>(K8-K9)/(1+$C$15)^7</f>
        <v>0</v>
      </c>
      <c r="L10" s="7">
        <f>(L8-L9)/(1+$C$15)^8</f>
        <v>0</v>
      </c>
      <c r="M10" s="7">
        <f>(M8-M9)/(1+$C$15)^9</f>
        <v>0</v>
      </c>
      <c r="N10" s="7">
        <f>(N8-N9)/(1+$C$15)^10</f>
        <v>0</v>
      </c>
    </row>
    <row r="11" spans="2:14">
      <c r="B11" s="5" t="s">
        <v>48</v>
      </c>
      <c r="C11" s="11">
        <v>79012.77</v>
      </c>
    </row>
    <row r="12" spans="2:14">
      <c r="B12" s="9" t="s">
        <v>49</v>
      </c>
      <c r="C12" s="14">
        <f>C11/C9</f>
        <v>0</v>
      </c>
    </row>
    <row r="13" spans="2:14">
      <c r="E13" s="12" t="s">
        <v>65</v>
      </c>
      <c r="F13" s="12"/>
      <c r="G13" s="12"/>
      <c r="H13" s="12"/>
      <c r="I13" s="12"/>
      <c r="J13" s="12"/>
      <c r="K13" s="12"/>
      <c r="L13" s="12"/>
      <c r="M13" s="12"/>
      <c r="N13" s="12"/>
    </row>
    <row r="14" spans="2:14">
      <c r="B14" s="3" t="s">
        <v>10</v>
      </c>
      <c r="C14" s="3"/>
      <c r="E14" s="13" t="s">
        <v>66</v>
      </c>
      <c r="F14" s="13"/>
      <c r="G14" s="13"/>
      <c r="H14" s="13"/>
      <c r="I14" s="13"/>
      <c r="J14" s="13"/>
      <c r="K14" s="13"/>
      <c r="L14" s="13"/>
      <c r="M14" s="13"/>
      <c r="N14" s="13"/>
    </row>
    <row r="15" spans="2:14">
      <c r="B15" s="5" t="s">
        <v>50</v>
      </c>
      <c r="C15" s="14">
        <v>0.115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2:14">
      <c r="B16" s="5" t="s">
        <v>12</v>
      </c>
      <c r="C16" s="14">
        <v>0.05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4">
      <c r="B17" s="9" t="s">
        <v>51</v>
      </c>
      <c r="C17" s="14">
        <v>0.4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2:14">
      <c r="B18" s="5" t="s">
        <v>52</v>
      </c>
      <c r="C18" s="7">
        <f>C11*(1-C17)</f>
        <v>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2:14"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2:14">
      <c r="B20" s="3" t="s">
        <v>53</v>
      </c>
      <c r="C20" s="3"/>
    </row>
    <row r="21" spans="2:14">
      <c r="B21" s="5" t="s">
        <v>54</v>
      </c>
      <c r="C21" s="15">
        <v>0.165</v>
      </c>
    </row>
    <row r="22" spans="2:14">
      <c r="B22" s="5" t="s">
        <v>55</v>
      </c>
      <c r="C22" s="15">
        <v>0.1</v>
      </c>
    </row>
    <row r="24" spans="2:14">
      <c r="B24" s="3" t="s">
        <v>56</v>
      </c>
      <c r="C24" s="3"/>
    </row>
    <row r="25" spans="2:14">
      <c r="B25" s="9" t="s">
        <v>57</v>
      </c>
      <c r="C25" s="7">
        <f>C9</f>
        <v>0</v>
      </c>
    </row>
    <row r="26" spans="2:14">
      <c r="B26" s="9" t="s">
        <v>58</v>
      </c>
      <c r="C26" s="7">
        <f>SUM(E10:N10)</f>
        <v>0</v>
      </c>
    </row>
    <row r="27" spans="2:14">
      <c r="B27" s="9" t="s">
        <v>59</v>
      </c>
      <c r="C27" s="7">
        <f>(N7*(C21-C15))/(C15-C16)</f>
        <v>0</v>
      </c>
    </row>
    <row r="28" spans="2:14">
      <c r="B28" s="9" t="s">
        <v>60</v>
      </c>
      <c r="C28" s="7">
        <f>C27/(1+C15)^10</f>
        <v>0</v>
      </c>
    </row>
    <row r="29" spans="2:14">
      <c r="B29" s="5" t="s">
        <v>22</v>
      </c>
      <c r="C29" s="7">
        <f>C25+C26+C28</f>
        <v>0</v>
      </c>
    </row>
    <row r="30" spans="2:14">
      <c r="B30" s="5" t="s">
        <v>23</v>
      </c>
      <c r="C30" s="16">
        <f>C29/C7</f>
        <v>0</v>
      </c>
    </row>
    <row r="31" spans="2:14">
      <c r="B31" s="5" t="s">
        <v>24</v>
      </c>
      <c r="C31" s="17">
        <f>C30-C6</f>
        <v>0</v>
      </c>
    </row>
  </sheetData>
  <mergeCells count="8">
    <mergeCell ref="B2:N2"/>
    <mergeCell ref="B3:N3"/>
    <mergeCell ref="B5:C5"/>
    <mergeCell ref="B14:C14"/>
    <mergeCell ref="B20:C20"/>
    <mergeCell ref="B24:C24"/>
    <mergeCell ref="E13:N13"/>
    <mergeCell ref="E14:N19"/>
  </mergeCell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4748B"/>
  </sheetPr>
  <dimension ref="B2:C17"/>
  <sheetViews>
    <sheetView workbookViewId="0"/>
  </sheetViews>
  <sheetFormatPr defaultRowHeight="15"/>
  <cols>
    <col min="1" max="1" width="3.7109375" customWidth="1"/>
    <col min="2" max="2" width="30.7109375" customWidth="1"/>
    <col min="3" max="3" width="85.7109375" customWidth="1"/>
  </cols>
  <sheetData>
    <row r="2" spans="2:3" ht="32" customHeight="1">
      <c r="B2" s="1" t="s">
        <v>67</v>
      </c>
      <c r="C2" s="1"/>
    </row>
    <row r="3" spans="2:3" ht="20" customHeight="1">
      <c r="B3" s="2" t="s">
        <v>68</v>
      </c>
      <c r="C3" s="2"/>
    </row>
    <row r="5" spans="2:3" ht="28" customHeight="1">
      <c r="B5" s="5" t="s">
        <v>69</v>
      </c>
      <c r="C5" s="18" t="s">
        <v>70</v>
      </c>
    </row>
    <row r="7" spans="2:3" ht="28" customHeight="1">
      <c r="B7" s="5" t="s">
        <v>71</v>
      </c>
      <c r="C7" s="18" t="s">
        <v>72</v>
      </c>
    </row>
    <row r="9" spans="2:3" ht="28" customHeight="1">
      <c r="B9" s="5" t="s">
        <v>73</v>
      </c>
      <c r="C9" s="18" t="s">
        <v>74</v>
      </c>
    </row>
    <row r="11" spans="2:3" ht="28" customHeight="1">
      <c r="B11" s="5" t="s">
        <v>75</v>
      </c>
      <c r="C11" s="18" t="s">
        <v>76</v>
      </c>
    </row>
    <row r="13" spans="2:3" ht="28" customHeight="1">
      <c r="B13" s="5" t="s">
        <v>77</v>
      </c>
      <c r="C13" s="18" t="s">
        <v>78</v>
      </c>
    </row>
    <row r="15" spans="2:3" ht="28" customHeight="1">
      <c r="B15" s="5" t="s">
        <v>79</v>
      </c>
      <c r="C15" s="18" t="s">
        <v>80</v>
      </c>
    </row>
    <row r="17" spans="2:3" ht="28" customHeight="1">
      <c r="B17" s="5" t="s">
        <v>81</v>
      </c>
      <c r="C17" s="18" t="s">
        <v>82</v>
      </c>
    </row>
  </sheetData>
  <mergeCells count="2">
    <mergeCell ref="B2:C2"/>
    <mergeCell ref="B3:C3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Non-Financial (FCFF in ₹ Cr)</vt:lpstr>
      <vt:lpstr>Financials (ROE in ₹ Cr)</vt:lpstr>
      <vt:lpstr>India Valuation Guidelines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2026-10-10T21:27:20Z</dcterms:created>
  <dcterms:modified xsi:type="dcterms:W3CDTF">2026-10-10T21:27:20Z</dcterms:modified>
</cp:coreProperties>
</file>